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channelplay-my.sharepoint.com/personal/bikash_roy1_channelplay_in/Documents/My Laptop/0 Active Projects/Bosch VM/Dashboard Data/Downloads/"/>
    </mc:Choice>
  </mc:AlternateContent>
  <xr:revisionPtr revIDLastSave="828" documentId="8_{8D966247-C928-CD42-ADBC-61B4EA166280}" xr6:coauthVersionLast="47" xr6:coauthVersionMax="47" xr10:uidLastSave="{F8600E28-AE99-4E1F-8298-2B67592D0484}"/>
  <bookViews>
    <workbookView xWindow="0" yWindow="660" windowWidth="29400" windowHeight="17280" xr2:uid="{12E5734E-F2DC-4A9E-8ACE-6B7A09E8A7D7}"/>
  </bookViews>
  <sheets>
    <sheet name="QC Tracker" sheetId="2" r:id="rId1"/>
    <sheet name="Emp Master" sheetId="8" r:id="rId2"/>
    <sheet name="Sheet3" sheetId="5" state="hidden" r:id="rId3"/>
    <sheet name="Sheet4" sheetId="6" state="hidden" r:id="rId4"/>
    <sheet name="Rejection Reasons" sheetId="3" state="hidden" r:id="rId5"/>
  </sheets>
  <definedNames>
    <definedName name="_xlnm._FilterDatabase" localSheetId="1" hidden="1">'Emp Master'!$A$1:$G$2</definedName>
    <definedName name="_xlnm._FilterDatabase" localSheetId="0" hidden="1">'QC Tracker'!$A$2:$AF$3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" i="2" l="1"/>
  <c r="Z19" i="2" s="1"/>
  <c r="K19" i="2"/>
  <c r="J19" i="2"/>
  <c r="Y15" i="2"/>
  <c r="Z15" i="2" s="1"/>
  <c r="Y16" i="2"/>
  <c r="Z16" i="2" s="1"/>
  <c r="Y17" i="2"/>
  <c r="Z17" i="2" s="1"/>
  <c r="Y18" i="2"/>
  <c r="Z18" i="2" s="1"/>
  <c r="K17" i="2"/>
  <c r="K18" i="2"/>
  <c r="J17" i="2"/>
  <c r="J18" i="2"/>
  <c r="Y14" i="2"/>
  <c r="Z14" i="2" s="1"/>
  <c r="K16" i="2"/>
  <c r="K5" i="2"/>
  <c r="J16" i="2"/>
  <c r="J4" i="2"/>
  <c r="J15" i="2"/>
  <c r="J14" i="2"/>
  <c r="Y13" i="2"/>
  <c r="Z13" i="2" s="1"/>
  <c r="J13" i="2"/>
  <c r="Y12" i="2"/>
  <c r="Z12" i="2"/>
  <c r="J12" i="2"/>
  <c r="J9" i="2"/>
  <c r="J10" i="2"/>
  <c r="J11" i="2"/>
  <c r="Y11" i="2"/>
  <c r="Z11" i="2"/>
  <c r="Y10" i="2"/>
  <c r="Z10" i="2"/>
  <c r="Y9" i="2"/>
  <c r="Z9" i="2" s="1"/>
  <c r="K8" i="2"/>
  <c r="J8" i="2"/>
  <c r="Y8" i="2"/>
  <c r="Z8" i="2" s="1"/>
  <c r="Y7" i="2"/>
  <c r="Z7" i="2" s="1"/>
  <c r="K7" i="2"/>
  <c r="J7" i="2"/>
  <c r="J6" i="2"/>
  <c r="K6" i="2"/>
  <c r="Y6" i="2"/>
  <c r="Z6" i="2" s="1"/>
  <c r="J5" i="2"/>
  <c r="Y5" i="2"/>
  <c r="Z5" i="2" s="1"/>
  <c r="Y4" i="2"/>
  <c r="Z4" i="2" s="1"/>
  <c r="K4" i="2"/>
  <c r="K3" i="2"/>
  <c r="J3" i="2"/>
  <c r="Y3" i="2" l="1"/>
  <c r="Z3" i="2" l="1"/>
</calcChain>
</file>

<file path=xl/sharedStrings.xml><?xml version="1.0" encoding="utf-8"?>
<sst xmlns="http://schemas.openxmlformats.org/spreadsheetml/2006/main" count="596" uniqueCount="200">
  <si>
    <t>Display Audit</t>
  </si>
  <si>
    <t>External &amp; Internal Visibility</t>
  </si>
  <si>
    <t>Campaign</t>
  </si>
  <si>
    <t>Scoring</t>
  </si>
  <si>
    <t>Highlights &amp; Scoring</t>
  </si>
  <si>
    <t>Outlet Code</t>
  </si>
  <si>
    <t>Outlet Name</t>
  </si>
  <si>
    <t>VM User Code</t>
  </si>
  <si>
    <t>VM Name</t>
  </si>
  <si>
    <t>Outlet Category</t>
  </si>
  <si>
    <t>Outlet Classification</t>
  </si>
  <si>
    <t>Outlet City</t>
  </si>
  <si>
    <t>Visit Date</t>
  </si>
  <si>
    <t>QC Date</t>
  </si>
  <si>
    <t>AOM</t>
  </si>
  <si>
    <t>Sub Region</t>
  </si>
  <si>
    <t>Ref Section</t>
  </si>
  <si>
    <t>WM Section</t>
  </si>
  <si>
    <t>DW Section</t>
  </si>
  <si>
    <t>Chimney Section</t>
  </si>
  <si>
    <t>Inside Snap (360 Images)</t>
  </si>
  <si>
    <t>External Visibility</t>
  </si>
  <si>
    <t>Internal Visibility</t>
  </si>
  <si>
    <t>Promoter Activity</t>
  </si>
  <si>
    <t>Star Campaign Deployment Images</t>
  </si>
  <si>
    <t>Images taken correctly (Before &amp; After)</t>
  </si>
  <si>
    <t>POSM Deployment (Guideline Adherence)</t>
  </si>
  <si>
    <t>Correct POSM Remarks Captured</t>
  </si>
  <si>
    <t>POSM Condition (Damaged POSM identified)</t>
  </si>
  <si>
    <t>QC Approved Count</t>
  </si>
  <si>
    <t>QC Approved % (Out of 10 parameters)</t>
  </si>
  <si>
    <t>Mistakes Reported</t>
  </si>
  <si>
    <t>AOM Remarks</t>
  </si>
  <si>
    <t>Reliance Grp</t>
  </si>
  <si>
    <t>Saikiran Nalluri</t>
  </si>
  <si>
    <t>Bronze</t>
  </si>
  <si>
    <t>B</t>
  </si>
  <si>
    <t>Hyderabad</t>
  </si>
  <si>
    <t>Ok</t>
  </si>
  <si>
    <t>Rejected</t>
  </si>
  <si>
    <t>DW Campaign added wrongly</t>
  </si>
  <si>
    <t>Photos not taken properly, Posm not available and 360 degree photos not captured by VM.</t>
  </si>
  <si>
    <t>Infiniti Retail Limited</t>
  </si>
  <si>
    <t>Silver</t>
  </si>
  <si>
    <t>Promoter activity not done properly</t>
  </si>
  <si>
    <t>Bosch Washing Machine FL Topper not carried properly, 360 degree photos less captured by VM.</t>
  </si>
  <si>
    <t>Pai Intern Ltd. Grp</t>
  </si>
  <si>
    <t>Sargilivari Sai Kiran</t>
  </si>
  <si>
    <t>Kolar</t>
  </si>
  <si>
    <t>All campaigns not captured while doing the reporting</t>
  </si>
  <si>
    <t>Against REF display count mention wrong deployment Qty, 360 degree photos less captured by VM. (New VM will give him proper Training).</t>
  </si>
  <si>
    <t>Sonovision Electronics Private</t>
  </si>
  <si>
    <t>Habeeb Basha Syed</t>
  </si>
  <si>
    <t>Kadapa</t>
  </si>
  <si>
    <t>OK</t>
  </si>
  <si>
    <t>B Top Load ATL 2.2 WM: 1 display posm not available comment added wrong</t>
  </si>
  <si>
    <t>NA</t>
  </si>
  <si>
    <t>Haritha Enterprises</t>
  </si>
  <si>
    <t>Chethan S</t>
  </si>
  <si>
    <t>Diamond</t>
  </si>
  <si>
    <t>A</t>
  </si>
  <si>
    <t>Bengaluru</t>
  </si>
  <si>
    <t>B Front Load WM 7 KG - 12 KG _AntiStain: Display count not added, B New INTERNAL STICKER 80 Utensils: Wrong deployment Qty Added</t>
  </si>
  <si>
    <t xml:space="preserve">Competitor ISP count not added, 360 degree photos less captured by VM. </t>
  </si>
  <si>
    <t>Unilet Appliances Pvt. Ltd.</t>
  </si>
  <si>
    <t>Gold</t>
  </si>
  <si>
    <t xml:space="preserve">B New 100% Money Back Side Flange: Posm carried limited Qty, B Freestanding Dishwasher Toppers not deployed missing,  </t>
  </si>
  <si>
    <t xml:space="preserve">REF category campaigns not added, 360 degree photos less captured by VM. </t>
  </si>
  <si>
    <t>Goldfinch Products Private LTD</t>
  </si>
  <si>
    <t>Jaswinder Singh</t>
  </si>
  <si>
    <t>Samana</t>
  </si>
  <si>
    <t>22-08-2026</t>
  </si>
  <si>
    <t>24-08-2026</t>
  </si>
  <si>
    <t>North</t>
  </si>
  <si>
    <t>ok</t>
  </si>
  <si>
    <t>360-degree picture was not captured, and the internal visibility picture was also not captured properly</t>
  </si>
  <si>
    <t>Rajeev Distributor</t>
  </si>
  <si>
    <t>Partha Sarkar</t>
  </si>
  <si>
    <t>Gangtok</t>
  </si>
  <si>
    <t>East</t>
  </si>
  <si>
    <t>rejected</t>
  </si>
  <si>
    <t>Correct POSM remarks was not captured.</t>
  </si>
  <si>
    <t>Eastern Trading Company</t>
  </si>
  <si>
    <t>Raushan Kumar</t>
  </si>
  <si>
    <t>Lauriya</t>
  </si>
  <si>
    <t>Campaign image was not captured properly. External and internal visibility pictures were not captured, and the before-and-after pictures were also not captured</t>
  </si>
  <si>
    <t>Aditya Vision Limited</t>
  </si>
  <si>
    <t>Begusarai</t>
  </si>
  <si>
    <t>internal visibility pictures were not captured, and the before-and-after pictures were also not captured.</t>
  </si>
  <si>
    <t>Vijay Sales Grp</t>
  </si>
  <si>
    <t>Ravi Pal</t>
  </si>
  <si>
    <t>Ghaziabad</t>
  </si>
  <si>
    <t>POSM remarks were captured incorrectly. Pillar branding was available, but the quantity was not mentioned.</t>
  </si>
  <si>
    <t>Satish Gupta</t>
  </si>
  <si>
    <t>Jaipur</t>
  </si>
  <si>
    <t>The 360-degree picture was not captured. The promoter's name was mentioned, but the promoter ID was not mentioned.</t>
  </si>
  <si>
    <t>Cool Care Airconditioning</t>
  </si>
  <si>
    <t>Sunny</t>
  </si>
  <si>
    <t>Delhi</t>
  </si>
  <si>
    <t>Vijayawada</t>
  </si>
  <si>
    <t>Internal visibility bosch and LG fixtures not captured and blur photos.</t>
  </si>
  <si>
    <t>REF Posm not deployed properly, Before and after images not captured by VM.</t>
  </si>
  <si>
    <t>Girias Investment Pvt Ltd</t>
  </si>
  <si>
    <t>Display count added wrongly and comment added by mistaken</t>
  </si>
  <si>
    <t>REF display count mention wrong deployment Qty, 360 degree photos less captured by VM. (New VM will give him proper Training).</t>
  </si>
  <si>
    <t>Reporting error</t>
  </si>
  <si>
    <t>Electronics Mart India Limited</t>
  </si>
  <si>
    <t>Kiran</t>
  </si>
  <si>
    <t>Bhupalpally</t>
  </si>
  <si>
    <t>DW Posm not carried properly and Before and after images not captured by VM.</t>
  </si>
  <si>
    <t>Sr. No.</t>
  </si>
  <si>
    <t>User Code</t>
  </si>
  <si>
    <t>Employee Name</t>
  </si>
  <si>
    <t>Designation</t>
  </si>
  <si>
    <t>AOM Name</t>
  </si>
  <si>
    <t>Region</t>
  </si>
  <si>
    <t>Remarks</t>
  </si>
  <si>
    <t>Divyang</t>
  </si>
  <si>
    <t>VM</t>
  </si>
  <si>
    <t>Danish Khan</t>
  </si>
  <si>
    <t>West</t>
  </si>
  <si>
    <t>Nithin Arjun Rathod</t>
  </si>
  <si>
    <t>Azhar Khan</t>
  </si>
  <si>
    <t>Kiran Dighe</t>
  </si>
  <si>
    <t>Paresh</t>
  </si>
  <si>
    <t>Rohan Sawant</t>
  </si>
  <si>
    <t>Avinash Chavan</t>
  </si>
  <si>
    <t>Irfan Ali</t>
  </si>
  <si>
    <t>South 1</t>
  </si>
  <si>
    <t>RAYUPAREDDY LOVA RAJU</t>
  </si>
  <si>
    <t>Ramesh H</t>
  </si>
  <si>
    <t>Jaikumar P</t>
  </si>
  <si>
    <t>Yaswant Kumar</t>
  </si>
  <si>
    <t>Sandeep Kumar Gupta</t>
  </si>
  <si>
    <t xml:space="preserve">Satish Gupta </t>
  </si>
  <si>
    <t>Raj Kumar Rajak</t>
  </si>
  <si>
    <t>Tapas Naskar</t>
  </si>
  <si>
    <t>Dinesh</t>
  </si>
  <si>
    <t>Najeeb Hydrose</t>
  </si>
  <si>
    <t>South 2</t>
  </si>
  <si>
    <t>Jafar Kabeer</t>
  </si>
  <si>
    <t>Aswin Raveendran</t>
  </si>
  <si>
    <t>Vikky Raghu</t>
  </si>
  <si>
    <t>Manikandan</t>
  </si>
  <si>
    <t>Richard M</t>
  </si>
  <si>
    <t>Hariharan K</t>
  </si>
  <si>
    <t>Aurn</t>
  </si>
  <si>
    <t>Senguttuvan D</t>
  </si>
  <si>
    <t>Manu Sudhan</t>
  </si>
  <si>
    <t>Display Count - FF- Alpha</t>
  </si>
  <si>
    <t>Proper snap given by VM</t>
  </si>
  <si>
    <t>Display audit</t>
  </si>
  <si>
    <t xml:space="preserve">Ref-DC- Up to 24 Days Freshness Headers </t>
  </si>
  <si>
    <t>Permission issue</t>
  </si>
  <si>
    <t>DC</t>
  </si>
  <si>
    <t>MARVEL</t>
  </si>
  <si>
    <t>Ref-FF- 95% Nano Shield Technology Stickers</t>
  </si>
  <si>
    <t>Deployed as per Guidelines</t>
  </si>
  <si>
    <t>Not ok</t>
  </si>
  <si>
    <t>AC</t>
  </si>
  <si>
    <t>5 IN 1</t>
  </si>
  <si>
    <t>Ref-FF- Alpha Stickers</t>
  </si>
  <si>
    <t>FATL</t>
  </si>
  <si>
    <t>VELVETY STEAM</t>
  </si>
  <si>
    <t>Spl- Award Flanges</t>
  </si>
  <si>
    <t>POSM Not Received</t>
  </si>
  <si>
    <t>FAFL</t>
  </si>
  <si>
    <t>SA</t>
  </si>
  <si>
    <t>EDGE TB3</t>
  </si>
  <si>
    <t>POSM already Present</t>
  </si>
  <si>
    <t>Deployed as per Gudelines</t>
  </si>
  <si>
    <t>Display</t>
  </si>
  <si>
    <t>posm not received</t>
  </si>
  <si>
    <t>POSM already presentb on 2 Ref</t>
  </si>
  <si>
    <t>snap</t>
  </si>
  <si>
    <t>Posm not received for 3 ref</t>
  </si>
  <si>
    <t>Deployed as per guidelines</t>
  </si>
  <si>
    <t>Display Audit Rejection Reasons</t>
  </si>
  <si>
    <t>Branding Audit Rejection Reasons</t>
  </si>
  <si>
    <t>Campaign Rejection Reasons</t>
  </si>
  <si>
    <t>Sitaram</t>
  </si>
  <si>
    <t>Fully Godrej Display Snaps not Captured</t>
  </si>
  <si>
    <t>Incorrect Branding Data Captured</t>
  </si>
  <si>
    <t>Incorrect POSM Deployment</t>
  </si>
  <si>
    <t>Parwez Alam</t>
  </si>
  <si>
    <t>Wrong Qty Captured</t>
  </si>
  <si>
    <t>Incorrect Fixture Data Captured</t>
  </si>
  <si>
    <t>Incorrect Display Count Captured</t>
  </si>
  <si>
    <t>Sujeet Shukla</t>
  </si>
  <si>
    <t>Proper Inside Snaps not Captured</t>
  </si>
  <si>
    <t>Incorrect Podium Data Captured</t>
  </si>
  <si>
    <t>Incorrect Remarks Captured</t>
  </si>
  <si>
    <t>Rameej Raja</t>
  </si>
  <si>
    <t>Incorrect GSB / ACP Data Captured</t>
  </si>
  <si>
    <t>POSM Condition is Bad, Not Replaced by VM</t>
  </si>
  <si>
    <t>Imran khan</t>
  </si>
  <si>
    <t>Incorrect Godrej Logo Data Captured</t>
  </si>
  <si>
    <t>Fully Godrej Branding &amp; Fixtures Snaps not Captured</t>
  </si>
  <si>
    <t>Fully Competition Branding &amp; Fixtures Snaps not Captured</t>
  </si>
  <si>
    <t>Proper Front Snap not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</si>
</sst>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scheme val="minor"/>
    </font>
    <font>
      <sz val="9"/>
      <color theme="1"/>
      <name val="Calibri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 vertical="center" wrapText="1"/>
    </xf>
    <xf numFmtId="0" fontId="0" fillId="37" borderId="0" xfId="0" applyFill="1"/>
    <xf numFmtId="0" fontId="0" fillId="38" borderId="0" xfId="0" applyFill="1"/>
    <xf numFmtId="0" fontId="16" fillId="0" borderId="0" xfId="0" applyFont="1" applyAlignment="1">
      <alignment wrapText="1"/>
    </xf>
    <xf numFmtId="0" fontId="0" fillId="36" borderId="0" xfId="0" applyFill="1"/>
    <xf numFmtId="0" fontId="19" fillId="0" borderId="0" xfId="0" applyFont="1" applyAlignment="1">
      <alignment horizontal="center"/>
    </xf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41" borderId="11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9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14" fontId="21" fillId="0" borderId="11" xfId="0" applyNumberFormat="1" applyFont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/>
    </xf>
    <xf numFmtId="0" fontId="18" fillId="35" borderId="11" xfId="0" applyFont="1" applyFill="1" applyBorder="1" applyAlignment="1">
      <alignment horizontal="center" vertical="center"/>
    </xf>
    <xf numFmtId="0" fontId="18" fillId="39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41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33" borderId="11" xfId="0" applyFont="1" applyFill="1" applyBorder="1" applyAlignment="1">
      <alignment horizontal="center" vertical="center" wrapText="1"/>
    </xf>
    <xf numFmtId="0" fontId="19" fillId="40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164" fontId="19" fillId="0" borderId="11" xfId="0" applyNumberFormat="1" applyFont="1" applyBorder="1" applyAlignment="1">
      <alignment horizontal="center"/>
    </xf>
    <xf numFmtId="164" fontId="20" fillId="33" borderId="11" xfId="0" applyNumberFormat="1" applyFont="1" applyFill="1" applyBorder="1" applyAlignment="1">
      <alignment horizontal="center" vertical="center" wrapText="1"/>
    </xf>
    <xf numFmtId="164" fontId="20" fillId="36" borderId="11" xfId="0" applyNumberFormat="1" applyFont="1" applyFill="1" applyBorder="1" applyAlignment="1">
      <alignment horizontal="center" vertical="center" wrapText="1"/>
    </xf>
    <xf numFmtId="164" fontId="21" fillId="0" borderId="11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CC37-1F12-4662-ADAC-C53117926152}">
  <dimension ref="A1:AB19"/>
  <sheetViews>
    <sheetView showGridLines="0" tabSelected="1" zoomScale="90" zoomScaleNormal="90" workbookViewId="0">
      <pane ySplit="2" topLeftCell="A3" activePane="bottomLeft" state="frozen"/>
      <selection pane="bottomLeft" activeCell="H2" sqref="H1:I1048576"/>
    </sheetView>
  </sheetViews>
  <sheetFormatPr defaultColWidth="8.85546875" defaultRowHeight="12"/>
  <cols>
    <col min="1" max="1" width="10.85546875" style="7" bestFit="1" customWidth="1"/>
    <col min="2" max="2" width="24.42578125" style="8" customWidth="1"/>
    <col min="3" max="3" width="9.140625" style="7" bestFit="1" customWidth="1"/>
    <col min="4" max="4" width="16" style="20" customWidth="1"/>
    <col min="5" max="5" width="14" style="20" customWidth="1"/>
    <col min="6" max="6" width="8.7109375" style="20" bestFit="1" customWidth="1"/>
    <col min="7" max="7" width="9.7109375" style="20" bestFit="1" customWidth="1"/>
    <col min="8" max="8" width="9.7109375" style="34" customWidth="1"/>
    <col min="9" max="9" width="13.140625" style="34" customWidth="1"/>
    <col min="10" max="10" width="16.42578125" style="7" bestFit="1" customWidth="1"/>
    <col min="11" max="11" width="12.140625" style="20" customWidth="1"/>
    <col min="12" max="16" width="8.42578125" style="7" customWidth="1"/>
    <col min="17" max="18" width="16" style="7" customWidth="1"/>
    <col min="19" max="19" width="16.28515625" style="7" customWidth="1"/>
    <col min="20" max="24" width="13.42578125" style="7" customWidth="1"/>
    <col min="25" max="25" width="10.140625" style="8" customWidth="1"/>
    <col min="26" max="26" width="14.28515625" style="8" customWidth="1"/>
    <col min="27" max="27" width="49.85546875" style="21" customWidth="1"/>
    <col min="28" max="28" width="49.42578125" style="21" customWidth="1"/>
    <col min="29" max="16384" width="8.85546875" style="8"/>
  </cols>
  <sheetData>
    <row r="1" spans="1:28" ht="12" customHeight="1">
      <c r="A1" s="19"/>
      <c r="B1" s="19"/>
      <c r="C1" s="19"/>
      <c r="D1" s="19"/>
      <c r="E1" s="19"/>
      <c r="F1" s="19"/>
      <c r="G1" s="19"/>
      <c r="H1" s="30"/>
      <c r="I1" s="30"/>
      <c r="J1" s="19"/>
      <c r="K1" s="19"/>
      <c r="L1" s="22" t="s">
        <v>0</v>
      </c>
      <c r="M1" s="22"/>
      <c r="N1" s="22"/>
      <c r="O1" s="22"/>
      <c r="P1" s="22"/>
      <c r="Q1" s="25" t="s">
        <v>1</v>
      </c>
      <c r="R1" s="25"/>
      <c r="S1" s="25"/>
      <c r="T1" s="23" t="s">
        <v>2</v>
      </c>
      <c r="U1" s="23"/>
      <c r="V1" s="23"/>
      <c r="W1" s="23"/>
      <c r="X1" s="23"/>
      <c r="Y1" s="24" t="s">
        <v>3</v>
      </c>
      <c r="Z1" s="24"/>
      <c r="AA1" s="24" t="s">
        <v>4</v>
      </c>
      <c r="AB1" s="24"/>
    </row>
    <row r="2" spans="1:28" s="14" customFormat="1" ht="50.2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31" t="s">
        <v>12</v>
      </c>
      <c r="I2" s="32" t="s">
        <v>13</v>
      </c>
      <c r="J2" s="10" t="s">
        <v>14</v>
      </c>
      <c r="K2" s="10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0" t="s">
        <v>21</v>
      </c>
      <c r="R2" s="10" t="s">
        <v>22</v>
      </c>
      <c r="S2" s="10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3" t="s">
        <v>29</v>
      </c>
      <c r="Z2" s="13" t="s">
        <v>30</v>
      </c>
      <c r="AA2" s="13" t="s">
        <v>31</v>
      </c>
      <c r="AB2" s="13" t="s">
        <v>32</v>
      </c>
    </row>
    <row r="3" spans="1:28" ht="24.75">
      <c r="A3" s="15">
        <v>5488599</v>
      </c>
      <c r="B3" s="15" t="s">
        <v>33</v>
      </c>
      <c r="C3" s="15">
        <v>1104346</v>
      </c>
      <c r="D3" s="15" t="s">
        <v>34</v>
      </c>
      <c r="E3" s="15" t="s">
        <v>35</v>
      </c>
      <c r="F3" s="15" t="s">
        <v>36</v>
      </c>
      <c r="G3" s="15" t="s">
        <v>37</v>
      </c>
      <c r="H3" s="33">
        <v>46254</v>
      </c>
      <c r="I3" s="33">
        <v>46255</v>
      </c>
      <c r="J3" s="16" t="str">
        <f>IFERROR(VLOOKUP($C3,'Emp Master'!$B:$F,4,0),"")</f>
        <v>Irfan Ali</v>
      </c>
      <c r="K3" s="16" t="str">
        <f>IFERROR(VLOOKUP($C3,'Emp Master'!$B:$F,5,0),"")</f>
        <v>South 1</v>
      </c>
      <c r="L3" s="15" t="s">
        <v>38</v>
      </c>
      <c r="M3" s="15" t="s">
        <v>38</v>
      </c>
      <c r="N3" s="15" t="s">
        <v>39</v>
      </c>
      <c r="O3" s="15" t="s">
        <v>38</v>
      </c>
      <c r="P3" s="15" t="s">
        <v>39</v>
      </c>
      <c r="Q3" s="15" t="s">
        <v>38</v>
      </c>
      <c r="R3" s="15" t="s">
        <v>38</v>
      </c>
      <c r="S3" s="15" t="s">
        <v>38</v>
      </c>
      <c r="T3" s="15" t="s">
        <v>38</v>
      </c>
      <c r="U3" s="15" t="s">
        <v>38</v>
      </c>
      <c r="V3" s="15" t="s">
        <v>38</v>
      </c>
      <c r="W3" s="15" t="s">
        <v>38</v>
      </c>
      <c r="X3" s="15" t="s">
        <v>38</v>
      </c>
      <c r="Y3" s="15">
        <f>COUNTIF(L3:X3,"ok")</f>
        <v>11</v>
      </c>
      <c r="Z3" s="17">
        <f>IFERROR(Y3/COUNTA(L3:X3),"")</f>
        <v>0.84615384615384615</v>
      </c>
      <c r="AA3" s="29" t="s">
        <v>40</v>
      </c>
      <c r="AB3" s="29" t="s">
        <v>41</v>
      </c>
    </row>
    <row r="4" spans="1:28" ht="24.75">
      <c r="A4" s="15">
        <v>5490123</v>
      </c>
      <c r="B4" s="15" t="s">
        <v>42</v>
      </c>
      <c r="C4" s="15">
        <v>1104346</v>
      </c>
      <c r="D4" s="15" t="s">
        <v>34</v>
      </c>
      <c r="E4" s="15" t="s">
        <v>43</v>
      </c>
      <c r="F4" s="15" t="s">
        <v>36</v>
      </c>
      <c r="G4" s="15" t="s">
        <v>37</v>
      </c>
      <c r="H4" s="33">
        <v>46254</v>
      </c>
      <c r="I4" s="33">
        <v>46255</v>
      </c>
      <c r="J4" s="16" t="str">
        <f>IFERROR(VLOOKUP($C4,'Emp Master'!$B:$F,4,0),"")</f>
        <v>Irfan Ali</v>
      </c>
      <c r="K4" s="16" t="str">
        <f>IFERROR(VLOOKUP($C4,'Emp Master'!$B:$F,5,0),"")</f>
        <v>South 1</v>
      </c>
      <c r="L4" s="15" t="s">
        <v>38</v>
      </c>
      <c r="M4" s="15" t="s">
        <v>39</v>
      </c>
      <c r="N4" s="15" t="s">
        <v>38</v>
      </c>
      <c r="O4" s="15" t="s">
        <v>38</v>
      </c>
      <c r="P4" s="15" t="s">
        <v>38</v>
      </c>
      <c r="Q4" s="15" t="s">
        <v>38</v>
      </c>
      <c r="R4" s="15" t="s">
        <v>38</v>
      </c>
      <c r="S4" s="15" t="s">
        <v>39</v>
      </c>
      <c r="T4" s="15" t="s">
        <v>38</v>
      </c>
      <c r="U4" s="15" t="s">
        <v>38</v>
      </c>
      <c r="V4" s="15" t="s">
        <v>38</v>
      </c>
      <c r="W4" s="15" t="s">
        <v>38</v>
      </c>
      <c r="X4" s="15" t="s">
        <v>38</v>
      </c>
      <c r="Y4" s="15">
        <f>COUNTIF(L4:X4,"ok")</f>
        <v>11</v>
      </c>
      <c r="Z4" s="17">
        <f>IFERROR(Y4/COUNTA(L4:X4),"")</f>
        <v>0.84615384615384615</v>
      </c>
      <c r="AA4" s="29" t="s">
        <v>44</v>
      </c>
      <c r="AB4" s="29" t="s">
        <v>45</v>
      </c>
    </row>
    <row r="5" spans="1:28" ht="37.5">
      <c r="A5" s="15">
        <v>5490138</v>
      </c>
      <c r="B5" s="15" t="s">
        <v>46</v>
      </c>
      <c r="C5" s="15">
        <v>1105185</v>
      </c>
      <c r="D5" s="15" t="s">
        <v>47</v>
      </c>
      <c r="E5" s="15" t="s">
        <v>43</v>
      </c>
      <c r="F5" s="15" t="s">
        <v>36</v>
      </c>
      <c r="G5" s="15" t="s">
        <v>48</v>
      </c>
      <c r="H5" s="33">
        <v>46254</v>
      </c>
      <c r="I5" s="33">
        <v>46255</v>
      </c>
      <c r="J5" s="16" t="str">
        <f>IFERROR(VLOOKUP($C5,'Emp Master'!$B:$F,4,0),"")</f>
        <v>Irfan Ali</v>
      </c>
      <c r="K5" s="16" t="str">
        <f>IFERROR(VLOOKUP($C5,'Emp Master'!$B:$F,5,0),"")</f>
        <v>South 1</v>
      </c>
      <c r="L5" s="15" t="s">
        <v>39</v>
      </c>
      <c r="M5" s="15" t="s">
        <v>39</v>
      </c>
      <c r="N5" s="15" t="s">
        <v>39</v>
      </c>
      <c r="O5" s="15" t="s">
        <v>38</v>
      </c>
      <c r="P5" s="15" t="s">
        <v>39</v>
      </c>
      <c r="Q5" s="15" t="s">
        <v>38</v>
      </c>
      <c r="R5" s="15" t="s">
        <v>38</v>
      </c>
      <c r="S5" s="15" t="s">
        <v>39</v>
      </c>
      <c r="T5" s="15" t="s">
        <v>39</v>
      </c>
      <c r="U5" s="15" t="s">
        <v>39</v>
      </c>
      <c r="V5" s="15" t="s">
        <v>38</v>
      </c>
      <c r="W5" s="15" t="s">
        <v>38</v>
      </c>
      <c r="X5" s="15" t="s">
        <v>38</v>
      </c>
      <c r="Y5" s="15">
        <f>COUNTIF(L5:X5,"ok")</f>
        <v>6</v>
      </c>
      <c r="Z5" s="17">
        <f>IFERROR(Y5/COUNTA(L5:X5),"")</f>
        <v>0.46153846153846156</v>
      </c>
      <c r="AA5" s="29" t="s">
        <v>49</v>
      </c>
      <c r="AB5" s="29" t="s">
        <v>50</v>
      </c>
    </row>
    <row r="6" spans="1:28" ht="24.75">
      <c r="A6" s="15">
        <v>5489995</v>
      </c>
      <c r="B6" s="15" t="s">
        <v>51</v>
      </c>
      <c r="C6" s="15">
        <v>1102995</v>
      </c>
      <c r="D6" s="15" t="s">
        <v>52</v>
      </c>
      <c r="E6" s="15" t="s">
        <v>43</v>
      </c>
      <c r="F6" s="15" t="s">
        <v>36</v>
      </c>
      <c r="G6" s="15" t="s">
        <v>53</v>
      </c>
      <c r="H6" s="33">
        <v>46255</v>
      </c>
      <c r="I6" s="33">
        <v>46256</v>
      </c>
      <c r="J6" s="16" t="str">
        <f>IFERROR(VLOOKUP($C6,'Emp Master'!$B:$F,4,0),"")</f>
        <v>Irfan Ali</v>
      </c>
      <c r="K6" s="16" t="str">
        <f>IFERROR(VLOOKUP($C6,'Emp Master'!$B:$F,5,0),"")</f>
        <v>South 1</v>
      </c>
      <c r="L6" s="15" t="s">
        <v>38</v>
      </c>
      <c r="M6" s="15" t="s">
        <v>54</v>
      </c>
      <c r="N6" s="15" t="s">
        <v>38</v>
      </c>
      <c r="O6" s="15" t="s">
        <v>38</v>
      </c>
      <c r="P6" s="15" t="s">
        <v>38</v>
      </c>
      <c r="Q6" s="15" t="s">
        <v>38</v>
      </c>
      <c r="R6" s="15" t="s">
        <v>38</v>
      </c>
      <c r="S6" s="15" t="s">
        <v>38</v>
      </c>
      <c r="T6" s="15" t="s">
        <v>39</v>
      </c>
      <c r="U6" s="15" t="s">
        <v>38</v>
      </c>
      <c r="V6" s="15" t="s">
        <v>38</v>
      </c>
      <c r="W6" s="15" t="s">
        <v>38</v>
      </c>
      <c r="X6" s="15" t="s">
        <v>38</v>
      </c>
      <c r="Y6" s="15">
        <f>COUNTIF(L6:X6,"ok")</f>
        <v>12</v>
      </c>
      <c r="Z6" s="17">
        <f>IFERROR(Y6/COUNTA(L6:X6),"")</f>
        <v>0.92307692307692313</v>
      </c>
      <c r="AA6" s="29" t="s">
        <v>55</v>
      </c>
      <c r="AB6" s="29" t="s">
        <v>56</v>
      </c>
    </row>
    <row r="7" spans="1:28" ht="24.75">
      <c r="A7" s="15">
        <v>5488808</v>
      </c>
      <c r="B7" s="15" t="s">
        <v>57</v>
      </c>
      <c r="C7" s="15">
        <v>1102208</v>
      </c>
      <c r="D7" s="15" t="s">
        <v>58</v>
      </c>
      <c r="E7" s="15" t="s">
        <v>59</v>
      </c>
      <c r="F7" s="15" t="s">
        <v>60</v>
      </c>
      <c r="G7" s="15" t="s">
        <v>61</v>
      </c>
      <c r="H7" s="33">
        <v>46255</v>
      </c>
      <c r="I7" s="33">
        <v>46256</v>
      </c>
      <c r="J7" s="16" t="str">
        <f>IFERROR(VLOOKUP($C7,'Emp Master'!$B:$F,4,0),"")</f>
        <v>Irfan Ali</v>
      </c>
      <c r="K7" s="16" t="str">
        <f>IFERROR(VLOOKUP($C7,'Emp Master'!$B:$F,5,0),"")</f>
        <v>South 1</v>
      </c>
      <c r="L7" s="15" t="s">
        <v>39</v>
      </c>
      <c r="M7" s="15" t="s">
        <v>38</v>
      </c>
      <c r="N7" s="15" t="s">
        <v>38</v>
      </c>
      <c r="O7" s="15" t="s">
        <v>38</v>
      </c>
      <c r="P7" s="15" t="s">
        <v>39</v>
      </c>
      <c r="Q7" s="15" t="s">
        <v>38</v>
      </c>
      <c r="R7" s="15" t="s">
        <v>38</v>
      </c>
      <c r="S7" s="15" t="s">
        <v>39</v>
      </c>
      <c r="T7" s="15" t="s">
        <v>38</v>
      </c>
      <c r="U7" s="15" t="s">
        <v>38</v>
      </c>
      <c r="V7" s="15" t="s">
        <v>38</v>
      </c>
      <c r="W7" s="15" t="s">
        <v>38</v>
      </c>
      <c r="X7" s="15" t="s">
        <v>38</v>
      </c>
      <c r="Y7" s="15">
        <f>COUNTIF(L7:X7,"ok")</f>
        <v>10</v>
      </c>
      <c r="Z7" s="17">
        <f>IFERROR(Y7/COUNTA(L7:X7),"")</f>
        <v>0.76923076923076927</v>
      </c>
      <c r="AA7" s="29" t="s">
        <v>62</v>
      </c>
      <c r="AB7" s="29" t="s">
        <v>63</v>
      </c>
    </row>
    <row r="8" spans="1:28" ht="24.75">
      <c r="A8" s="15">
        <v>5488929</v>
      </c>
      <c r="B8" s="15" t="s">
        <v>64</v>
      </c>
      <c r="C8" s="15">
        <v>1102208</v>
      </c>
      <c r="D8" s="15" t="s">
        <v>58</v>
      </c>
      <c r="E8" s="15" t="s">
        <v>65</v>
      </c>
      <c r="F8" s="15" t="s">
        <v>36</v>
      </c>
      <c r="G8" s="15" t="s">
        <v>61</v>
      </c>
      <c r="H8" s="33">
        <v>46255</v>
      </c>
      <c r="I8" s="33">
        <v>46256</v>
      </c>
      <c r="J8" s="16" t="str">
        <f>IFERROR(VLOOKUP($C8,'Emp Master'!$B:$F,4,0),"")</f>
        <v>Irfan Ali</v>
      </c>
      <c r="K8" s="16" t="str">
        <f>IFERROR(VLOOKUP($C8,'Emp Master'!$B:$F,5,0),"")</f>
        <v>South 1</v>
      </c>
      <c r="L8" s="15" t="s">
        <v>39</v>
      </c>
      <c r="M8" s="15" t="s">
        <v>38</v>
      </c>
      <c r="N8" s="15" t="s">
        <v>38</v>
      </c>
      <c r="O8" s="15" t="s">
        <v>38</v>
      </c>
      <c r="P8" s="15" t="s">
        <v>39</v>
      </c>
      <c r="Q8" s="15" t="s">
        <v>38</v>
      </c>
      <c r="R8" s="15" t="s">
        <v>38</v>
      </c>
      <c r="S8" s="15" t="s">
        <v>38</v>
      </c>
      <c r="T8" s="15" t="s">
        <v>38</v>
      </c>
      <c r="U8" s="15" t="s">
        <v>38</v>
      </c>
      <c r="V8" s="15" t="s">
        <v>39</v>
      </c>
      <c r="W8" s="15" t="s">
        <v>39</v>
      </c>
      <c r="X8" s="15" t="s">
        <v>38</v>
      </c>
      <c r="Y8" s="15">
        <f>COUNTIF(L8:X8,"ok")</f>
        <v>9</v>
      </c>
      <c r="Z8" s="17">
        <f>IFERROR(Y8/COUNTA(L8:X8),"")</f>
        <v>0.69230769230769229</v>
      </c>
      <c r="AA8" s="29" t="s">
        <v>66</v>
      </c>
      <c r="AB8" s="29" t="s">
        <v>67</v>
      </c>
    </row>
    <row r="9" spans="1:28" ht="24.75">
      <c r="A9" s="15">
        <v>5489822</v>
      </c>
      <c r="B9" s="15" t="s">
        <v>68</v>
      </c>
      <c r="C9" s="15">
        <v>1095237</v>
      </c>
      <c r="D9" s="15" t="s">
        <v>69</v>
      </c>
      <c r="E9" s="15" t="s">
        <v>43</v>
      </c>
      <c r="F9" s="15" t="s">
        <v>36</v>
      </c>
      <c r="G9" s="15" t="s">
        <v>70</v>
      </c>
      <c r="H9" s="33" t="s">
        <v>71</v>
      </c>
      <c r="I9" s="33" t="s">
        <v>72</v>
      </c>
      <c r="J9" s="16" t="str">
        <f>IFERROR(VLOOKUP($C9,'Emp Master'!$B:$F,4,0),"")</f>
        <v>Yaswant Kumar</v>
      </c>
      <c r="K9" s="16" t="s">
        <v>73</v>
      </c>
      <c r="L9" s="15" t="s">
        <v>38</v>
      </c>
      <c r="M9" s="15" t="s">
        <v>39</v>
      </c>
      <c r="N9" s="15" t="s">
        <v>54</v>
      </c>
      <c r="O9" s="15" t="s">
        <v>54</v>
      </c>
      <c r="P9" s="15" t="s">
        <v>39</v>
      </c>
      <c r="Q9" s="15" t="s">
        <v>74</v>
      </c>
      <c r="R9" s="15" t="s">
        <v>39</v>
      </c>
      <c r="S9" s="15" t="s">
        <v>38</v>
      </c>
      <c r="T9" s="15" t="s">
        <v>54</v>
      </c>
      <c r="U9" s="15" t="s">
        <v>38</v>
      </c>
      <c r="V9" s="15" t="s">
        <v>38</v>
      </c>
      <c r="W9" s="15" t="s">
        <v>38</v>
      </c>
      <c r="X9" s="15" t="s">
        <v>38</v>
      </c>
      <c r="Y9" s="15">
        <f>COUNTIF(L9:X9,"ok")</f>
        <v>10</v>
      </c>
      <c r="Z9" s="17">
        <f>IFERROR(Y9/COUNTA(L9:X9),"")</f>
        <v>0.76923076923076927</v>
      </c>
      <c r="AA9" s="29" t="s">
        <v>75</v>
      </c>
      <c r="AB9" s="29" t="s">
        <v>56</v>
      </c>
    </row>
    <row r="10" spans="1:28" ht="12.75">
      <c r="A10" s="15">
        <v>5489716</v>
      </c>
      <c r="B10" s="15" t="s">
        <v>76</v>
      </c>
      <c r="C10" s="15">
        <v>1098559</v>
      </c>
      <c r="D10" s="15" t="s">
        <v>77</v>
      </c>
      <c r="E10" s="15" t="s">
        <v>43</v>
      </c>
      <c r="F10" s="15" t="s">
        <v>36</v>
      </c>
      <c r="G10" s="15" t="s">
        <v>78</v>
      </c>
      <c r="H10" s="33" t="s">
        <v>71</v>
      </c>
      <c r="I10" s="33" t="s">
        <v>72</v>
      </c>
      <c r="J10" s="16" t="str">
        <f>IFERROR(VLOOKUP($C10,'Emp Master'!$B:$F,4,0),"")</f>
        <v>Yaswant Kumar</v>
      </c>
      <c r="K10" s="16" t="s">
        <v>79</v>
      </c>
      <c r="L10" s="15" t="s">
        <v>54</v>
      </c>
      <c r="M10" s="15" t="s">
        <v>54</v>
      </c>
      <c r="N10" s="15" t="s">
        <v>54</v>
      </c>
      <c r="O10" s="15" t="s">
        <v>54</v>
      </c>
      <c r="P10" s="15" t="s">
        <v>54</v>
      </c>
      <c r="Q10" s="15" t="s">
        <v>54</v>
      </c>
      <c r="R10" s="15" t="s">
        <v>54</v>
      </c>
      <c r="S10" s="15" t="s">
        <v>54</v>
      </c>
      <c r="T10" s="15" t="s">
        <v>54</v>
      </c>
      <c r="U10" s="15" t="s">
        <v>54</v>
      </c>
      <c r="V10" s="15" t="s">
        <v>54</v>
      </c>
      <c r="W10" s="15" t="s">
        <v>80</v>
      </c>
      <c r="X10" s="15" t="s">
        <v>54</v>
      </c>
      <c r="Y10" s="15">
        <f>COUNTIF(L10:X10,"ok")</f>
        <v>12</v>
      </c>
      <c r="Z10" s="17">
        <f>IFERROR(Y10/COUNTA(L10:X10),"")</f>
        <v>0.92307692307692313</v>
      </c>
      <c r="AA10" s="29" t="s">
        <v>81</v>
      </c>
      <c r="AB10" s="29" t="s">
        <v>56</v>
      </c>
    </row>
    <row r="11" spans="1:28" ht="37.5">
      <c r="A11" s="15">
        <v>5491325</v>
      </c>
      <c r="B11" s="15" t="s">
        <v>82</v>
      </c>
      <c r="C11" s="15">
        <v>1095246</v>
      </c>
      <c r="D11" s="15" t="s">
        <v>83</v>
      </c>
      <c r="E11" s="15" t="s">
        <v>43</v>
      </c>
      <c r="F11" s="15" t="s">
        <v>36</v>
      </c>
      <c r="G11" s="15" t="s">
        <v>84</v>
      </c>
      <c r="H11" s="33" t="s">
        <v>71</v>
      </c>
      <c r="I11" s="33" t="s">
        <v>72</v>
      </c>
      <c r="J11" s="16" t="str">
        <f>IFERROR(VLOOKUP($C11,'Emp Master'!$B:$F,4,0),"")</f>
        <v>Yaswant Kumar</v>
      </c>
      <c r="K11" s="16" t="s">
        <v>79</v>
      </c>
      <c r="L11" s="15" t="s">
        <v>39</v>
      </c>
      <c r="M11" s="15" t="s">
        <v>39</v>
      </c>
      <c r="N11" s="15" t="s">
        <v>54</v>
      </c>
      <c r="O11" s="15" t="s">
        <v>54</v>
      </c>
      <c r="P11" s="15" t="s">
        <v>38</v>
      </c>
      <c r="Q11" s="15" t="s">
        <v>39</v>
      </c>
      <c r="R11" s="15" t="s">
        <v>39</v>
      </c>
      <c r="S11" s="15" t="s">
        <v>54</v>
      </c>
      <c r="T11" s="15" t="s">
        <v>54</v>
      </c>
      <c r="U11" s="15" t="s">
        <v>39</v>
      </c>
      <c r="V11" s="15" t="s">
        <v>38</v>
      </c>
      <c r="W11" s="15" t="s">
        <v>54</v>
      </c>
      <c r="X11" s="15" t="s">
        <v>38</v>
      </c>
      <c r="Y11" s="15">
        <f>COUNTIF(L11:X11,"ok")</f>
        <v>8</v>
      </c>
      <c r="Z11" s="17">
        <f>IFERROR(Y11/COUNTA(L11:X11),"")</f>
        <v>0.61538461538461542</v>
      </c>
      <c r="AA11" s="29" t="s">
        <v>85</v>
      </c>
      <c r="AB11" s="29" t="s">
        <v>56</v>
      </c>
    </row>
    <row r="12" spans="1:28" ht="24.75">
      <c r="A12" s="15">
        <v>5491428</v>
      </c>
      <c r="B12" s="15" t="s">
        <v>86</v>
      </c>
      <c r="C12" s="15">
        <v>1095246</v>
      </c>
      <c r="D12" s="15" t="s">
        <v>83</v>
      </c>
      <c r="E12" s="15" t="s">
        <v>35</v>
      </c>
      <c r="F12" s="15" t="s">
        <v>36</v>
      </c>
      <c r="G12" s="15" t="s">
        <v>87</v>
      </c>
      <c r="H12" s="33" t="s">
        <v>71</v>
      </c>
      <c r="I12" s="33" t="s">
        <v>72</v>
      </c>
      <c r="J12" s="16" t="str">
        <f>IFERROR(VLOOKUP($C12,'Emp Master'!$B:$F,4,0),"")</f>
        <v>Yaswant Kumar</v>
      </c>
      <c r="K12" s="16" t="s">
        <v>79</v>
      </c>
      <c r="L12" s="15" t="s">
        <v>54</v>
      </c>
      <c r="M12" s="15" t="s">
        <v>38</v>
      </c>
      <c r="N12" s="15" t="s">
        <v>54</v>
      </c>
      <c r="O12" s="15" t="s">
        <v>54</v>
      </c>
      <c r="P12" s="15" t="s">
        <v>54</v>
      </c>
      <c r="Q12" s="15" t="s">
        <v>38</v>
      </c>
      <c r="R12" s="15" t="s">
        <v>39</v>
      </c>
      <c r="S12" s="15" t="s">
        <v>54</v>
      </c>
      <c r="T12" s="15" t="s">
        <v>54</v>
      </c>
      <c r="U12" s="15" t="s">
        <v>39</v>
      </c>
      <c r="V12" s="15" t="s">
        <v>38</v>
      </c>
      <c r="W12" s="15" t="s">
        <v>54</v>
      </c>
      <c r="X12" s="15" t="s">
        <v>38</v>
      </c>
      <c r="Y12" s="15">
        <f>COUNTIF(L12:X12,"ok")</f>
        <v>11</v>
      </c>
      <c r="Z12" s="17">
        <f>IFERROR(Y12/COUNTA(L12:X12),"")</f>
        <v>0.84615384615384615</v>
      </c>
      <c r="AA12" s="29" t="s">
        <v>88</v>
      </c>
      <c r="AB12" s="29" t="s">
        <v>56</v>
      </c>
    </row>
    <row r="13" spans="1:28" ht="24.75">
      <c r="A13" s="15">
        <v>5488864</v>
      </c>
      <c r="B13" s="15" t="s">
        <v>89</v>
      </c>
      <c r="C13" s="15">
        <v>1104433</v>
      </c>
      <c r="D13" s="15" t="s">
        <v>90</v>
      </c>
      <c r="E13" s="15" t="s">
        <v>59</v>
      </c>
      <c r="F13" s="15" t="s">
        <v>60</v>
      </c>
      <c r="G13" s="15" t="s">
        <v>91</v>
      </c>
      <c r="H13" s="33" t="s">
        <v>71</v>
      </c>
      <c r="I13" s="33" t="s">
        <v>72</v>
      </c>
      <c r="J13" s="16" t="str">
        <f>IFERROR(VLOOKUP($C13,'Emp Master'!$B:$F,4,0),"")</f>
        <v>Yaswant Kumar</v>
      </c>
      <c r="K13" s="16" t="s">
        <v>79</v>
      </c>
      <c r="L13" s="15" t="s">
        <v>54</v>
      </c>
      <c r="M13" s="15" t="s">
        <v>38</v>
      </c>
      <c r="N13" s="15" t="s">
        <v>39</v>
      </c>
      <c r="O13" s="15" t="s">
        <v>54</v>
      </c>
      <c r="P13" s="15" t="s">
        <v>39</v>
      </c>
      <c r="Q13" s="15" t="s">
        <v>38</v>
      </c>
      <c r="R13" s="15" t="s">
        <v>39</v>
      </c>
      <c r="S13" s="15" t="s">
        <v>54</v>
      </c>
      <c r="T13" s="15" t="s">
        <v>54</v>
      </c>
      <c r="U13" s="15" t="s">
        <v>39</v>
      </c>
      <c r="V13" s="15" t="s">
        <v>38</v>
      </c>
      <c r="W13" s="15" t="s">
        <v>80</v>
      </c>
      <c r="X13" s="15" t="s">
        <v>54</v>
      </c>
      <c r="Y13" s="15">
        <f>COUNTIF(L13:X13,"ok")</f>
        <v>8</v>
      </c>
      <c r="Z13" s="17">
        <f>IFERROR(Y13/COUNTA(L13:X13),"")</f>
        <v>0.61538461538461542</v>
      </c>
      <c r="AA13" s="29" t="s">
        <v>92</v>
      </c>
      <c r="AB13" s="29" t="s">
        <v>56</v>
      </c>
    </row>
    <row r="14" spans="1:28" ht="24.75">
      <c r="A14" s="15">
        <v>5488621</v>
      </c>
      <c r="B14" s="15" t="s">
        <v>33</v>
      </c>
      <c r="C14" s="15">
        <v>1102728</v>
      </c>
      <c r="D14" s="15" t="s">
        <v>93</v>
      </c>
      <c r="E14" s="15" t="s">
        <v>35</v>
      </c>
      <c r="F14" s="15" t="s">
        <v>36</v>
      </c>
      <c r="G14" s="15" t="s">
        <v>94</v>
      </c>
      <c r="H14" s="33" t="s">
        <v>71</v>
      </c>
      <c r="I14" s="33" t="s">
        <v>72</v>
      </c>
      <c r="J14" s="16" t="str">
        <f>IFERROR(VLOOKUP($C14,'Emp Master'!$B:$F,4,0),"")</f>
        <v>Yaswant Kumar</v>
      </c>
      <c r="K14" s="16" t="s">
        <v>79</v>
      </c>
      <c r="L14" s="15" t="s">
        <v>54</v>
      </c>
      <c r="M14" s="15" t="s">
        <v>38</v>
      </c>
      <c r="N14" s="15" t="s">
        <v>38</v>
      </c>
      <c r="O14" s="15" t="s">
        <v>54</v>
      </c>
      <c r="P14" s="15" t="s">
        <v>39</v>
      </c>
      <c r="Q14" s="15" t="s">
        <v>38</v>
      </c>
      <c r="R14" s="15" t="s">
        <v>39</v>
      </c>
      <c r="S14" s="15" t="s">
        <v>39</v>
      </c>
      <c r="T14" s="15" t="s">
        <v>54</v>
      </c>
      <c r="U14" s="15" t="s">
        <v>54</v>
      </c>
      <c r="V14" s="15" t="s">
        <v>54</v>
      </c>
      <c r="W14" s="15" t="s">
        <v>54</v>
      </c>
      <c r="X14" s="15" t="s">
        <v>54</v>
      </c>
      <c r="Y14" s="15">
        <f>COUNTIF(L14:X14,"ok")</f>
        <v>10</v>
      </c>
      <c r="Z14" s="17">
        <f>IFERROR(Y14/COUNTA(L14:X14),"")</f>
        <v>0.76923076923076927</v>
      </c>
      <c r="AA14" s="29" t="s">
        <v>95</v>
      </c>
      <c r="AB14" s="29" t="s">
        <v>56</v>
      </c>
    </row>
    <row r="15" spans="1:28">
      <c r="A15" s="15">
        <v>5643566</v>
      </c>
      <c r="B15" s="15" t="s">
        <v>96</v>
      </c>
      <c r="C15" s="15">
        <v>1104090</v>
      </c>
      <c r="D15" s="15" t="s">
        <v>97</v>
      </c>
      <c r="E15" s="15" t="s">
        <v>65</v>
      </c>
      <c r="F15" s="15" t="s">
        <v>36</v>
      </c>
      <c r="G15" s="15" t="s">
        <v>98</v>
      </c>
      <c r="H15" s="33" t="s">
        <v>71</v>
      </c>
      <c r="I15" s="33" t="s">
        <v>72</v>
      </c>
      <c r="J15" s="16" t="str">
        <f>IFERROR(VLOOKUP($C15,'Emp Master'!$B:$F,4,0),"")</f>
        <v>Yaswant Kumar</v>
      </c>
      <c r="K15" s="16" t="s">
        <v>79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>
        <f t="shared" ref="Y15:Y19" si="0">COUNTIF(L15:X15,"ok")</f>
        <v>0</v>
      </c>
      <c r="Z15" s="17" t="str">
        <f t="shared" ref="Z15:Z19" si="1">IFERROR(Y15/COUNTA(L15:X15),"")</f>
        <v/>
      </c>
      <c r="AA15" s="29"/>
      <c r="AB15" s="29"/>
    </row>
    <row r="16" spans="1:28" ht="24.75">
      <c r="A16" s="15">
        <v>5488955</v>
      </c>
      <c r="B16" s="15" t="s">
        <v>51</v>
      </c>
      <c r="C16" s="15">
        <v>1102995</v>
      </c>
      <c r="D16" s="15" t="s">
        <v>52</v>
      </c>
      <c r="E16" s="15" t="s">
        <v>59</v>
      </c>
      <c r="F16" s="15" t="s">
        <v>60</v>
      </c>
      <c r="G16" s="15" t="s">
        <v>99</v>
      </c>
      <c r="H16" s="33">
        <v>46256</v>
      </c>
      <c r="I16" s="33">
        <v>46258</v>
      </c>
      <c r="J16" s="16" t="str">
        <f>IFERROR(VLOOKUP($C4,'Emp Master'!$B:$F,4,0),"")</f>
        <v>Irfan Ali</v>
      </c>
      <c r="K16" s="16" t="str">
        <f>IFERROR(VLOOKUP($C5,'Emp Master'!$B:$F,5,0),"")</f>
        <v>South 1</v>
      </c>
      <c r="L16" s="15" t="s">
        <v>38</v>
      </c>
      <c r="M16" s="15" t="s">
        <v>38</v>
      </c>
      <c r="N16" s="15" t="s">
        <v>38</v>
      </c>
      <c r="O16" s="15" t="s">
        <v>38</v>
      </c>
      <c r="P16" s="15" t="s">
        <v>38</v>
      </c>
      <c r="Q16" s="15" t="s">
        <v>38</v>
      </c>
      <c r="R16" s="15" t="s">
        <v>39</v>
      </c>
      <c r="S16" s="15" t="s">
        <v>38</v>
      </c>
      <c r="T16" s="15" t="s">
        <v>38</v>
      </c>
      <c r="U16" s="15" t="s">
        <v>39</v>
      </c>
      <c r="V16" s="15" t="s">
        <v>38</v>
      </c>
      <c r="W16" s="15" t="s">
        <v>38</v>
      </c>
      <c r="X16" s="15" t="s">
        <v>39</v>
      </c>
      <c r="Y16" s="15">
        <f t="shared" si="0"/>
        <v>10</v>
      </c>
      <c r="Z16" s="17">
        <f t="shared" si="1"/>
        <v>0.76923076923076927</v>
      </c>
      <c r="AA16" s="29" t="s">
        <v>100</v>
      </c>
      <c r="AB16" s="29" t="s">
        <v>101</v>
      </c>
    </row>
    <row r="17" spans="1:28" ht="37.5">
      <c r="A17" s="15">
        <v>5489422</v>
      </c>
      <c r="B17" s="15" t="s">
        <v>102</v>
      </c>
      <c r="C17" s="15">
        <v>1105185</v>
      </c>
      <c r="D17" s="15" t="s">
        <v>47</v>
      </c>
      <c r="E17" s="15" t="s">
        <v>43</v>
      </c>
      <c r="F17" s="15" t="s">
        <v>36</v>
      </c>
      <c r="G17" s="15" t="s">
        <v>61</v>
      </c>
      <c r="H17" s="33">
        <v>46256</v>
      </c>
      <c r="I17" s="33">
        <v>46258</v>
      </c>
      <c r="J17" s="16" t="str">
        <f>IFERROR(VLOOKUP($C5,'Emp Master'!$B:$F,4,0),"")</f>
        <v>Irfan Ali</v>
      </c>
      <c r="K17" s="16" t="str">
        <f>IFERROR(VLOOKUP($C6,'Emp Master'!$B:$F,5,0),"")</f>
        <v>South 1</v>
      </c>
      <c r="L17" s="15" t="s">
        <v>39</v>
      </c>
      <c r="M17" s="15" t="s">
        <v>38</v>
      </c>
      <c r="N17" s="15" t="s">
        <v>38</v>
      </c>
      <c r="O17" s="15" t="s">
        <v>38</v>
      </c>
      <c r="P17" s="15" t="s">
        <v>39</v>
      </c>
      <c r="Q17" s="15" t="s">
        <v>38</v>
      </c>
      <c r="R17" s="15" t="s">
        <v>38</v>
      </c>
      <c r="S17" s="15" t="s">
        <v>38</v>
      </c>
      <c r="T17" s="15" t="s">
        <v>38</v>
      </c>
      <c r="U17" s="15" t="s">
        <v>38</v>
      </c>
      <c r="V17" s="15" t="s">
        <v>38</v>
      </c>
      <c r="W17" s="15" t="s">
        <v>39</v>
      </c>
      <c r="X17" s="15" t="s">
        <v>38</v>
      </c>
      <c r="Y17" s="15">
        <f t="shared" si="0"/>
        <v>10</v>
      </c>
      <c r="Z17" s="17">
        <f t="shared" si="1"/>
        <v>0.76923076923076927</v>
      </c>
      <c r="AA17" s="29" t="s">
        <v>103</v>
      </c>
      <c r="AB17" s="29" t="s">
        <v>104</v>
      </c>
    </row>
    <row r="18" spans="1:28" ht="12.75">
      <c r="A18" s="15">
        <v>5489848</v>
      </c>
      <c r="B18" s="15" t="s">
        <v>46</v>
      </c>
      <c r="C18" s="15">
        <v>1105185</v>
      </c>
      <c r="D18" s="15" t="s">
        <v>47</v>
      </c>
      <c r="E18" s="15" t="s">
        <v>43</v>
      </c>
      <c r="F18" s="15" t="s">
        <v>36</v>
      </c>
      <c r="G18" s="15" t="s">
        <v>61</v>
      </c>
      <c r="H18" s="33">
        <v>46256</v>
      </c>
      <c r="I18" s="33">
        <v>46258</v>
      </c>
      <c r="J18" s="16" t="str">
        <f>IFERROR(VLOOKUP($C6,'Emp Master'!$B:$F,4,0),"")</f>
        <v>Irfan Ali</v>
      </c>
      <c r="K18" s="16" t="str">
        <f>IFERROR(VLOOKUP($C7,'Emp Master'!$B:$F,5,0),"")</f>
        <v>South 1</v>
      </c>
      <c r="L18" s="15" t="s">
        <v>38</v>
      </c>
      <c r="M18" s="15" t="s">
        <v>39</v>
      </c>
      <c r="N18" s="15" t="s">
        <v>38</v>
      </c>
      <c r="O18" s="15" t="s">
        <v>39</v>
      </c>
      <c r="P18" s="15" t="s">
        <v>38</v>
      </c>
      <c r="Q18" s="15" t="s">
        <v>38</v>
      </c>
      <c r="R18" s="15" t="s">
        <v>38</v>
      </c>
      <c r="S18" s="15" t="s">
        <v>39</v>
      </c>
      <c r="T18" s="15" t="s">
        <v>38</v>
      </c>
      <c r="U18" s="15" t="s">
        <v>38</v>
      </c>
      <c r="V18" s="15" t="s">
        <v>38</v>
      </c>
      <c r="W18" s="15" t="s">
        <v>39</v>
      </c>
      <c r="X18" s="15" t="s">
        <v>38</v>
      </c>
      <c r="Y18" s="15">
        <f t="shared" si="0"/>
        <v>9</v>
      </c>
      <c r="Z18" s="17">
        <f t="shared" si="1"/>
        <v>0.69230769230769229</v>
      </c>
      <c r="AA18" s="29" t="s">
        <v>105</v>
      </c>
      <c r="AB18" s="29"/>
    </row>
    <row r="19" spans="1:28" ht="24.75">
      <c r="A19" s="15">
        <v>5491333</v>
      </c>
      <c r="B19" s="15" t="s">
        <v>106</v>
      </c>
      <c r="C19" s="15">
        <v>1095249</v>
      </c>
      <c r="D19" s="15" t="s">
        <v>107</v>
      </c>
      <c r="E19" s="15" t="s">
        <v>35</v>
      </c>
      <c r="F19" s="15" t="s">
        <v>36</v>
      </c>
      <c r="G19" s="15" t="s">
        <v>108</v>
      </c>
      <c r="H19" s="33">
        <v>46256</v>
      </c>
      <c r="I19" s="33">
        <v>46258</v>
      </c>
      <c r="J19" s="16" t="str">
        <f>IFERROR(VLOOKUP($C7,'Emp Master'!$B:$F,4,0),"")</f>
        <v>Irfan Ali</v>
      </c>
      <c r="K19" s="16" t="str">
        <f>IFERROR(VLOOKUP($C8,'Emp Master'!$B:$F,5,0),"")</f>
        <v>South 1</v>
      </c>
      <c r="L19" s="15" t="s">
        <v>38</v>
      </c>
      <c r="M19" s="15" t="s">
        <v>38</v>
      </c>
      <c r="N19" s="15" t="s">
        <v>38</v>
      </c>
      <c r="O19" s="15" t="s">
        <v>38</v>
      </c>
      <c r="P19" s="15" t="s">
        <v>38</v>
      </c>
      <c r="Q19" s="15" t="s">
        <v>38</v>
      </c>
      <c r="R19" s="15" t="s">
        <v>38</v>
      </c>
      <c r="S19" s="15" t="s">
        <v>38</v>
      </c>
      <c r="T19" s="15" t="s">
        <v>38</v>
      </c>
      <c r="U19" s="15" t="s">
        <v>39</v>
      </c>
      <c r="V19" s="15" t="s">
        <v>38</v>
      </c>
      <c r="W19" s="15" t="s">
        <v>38</v>
      </c>
      <c r="X19" s="15" t="s">
        <v>38</v>
      </c>
      <c r="Y19" s="15">
        <f t="shared" si="0"/>
        <v>12</v>
      </c>
      <c r="Z19" s="17">
        <f t="shared" si="1"/>
        <v>0.92307692307692313</v>
      </c>
      <c r="AA19" s="29" t="s">
        <v>109</v>
      </c>
      <c r="AB19" s="29" t="s">
        <v>56</v>
      </c>
    </row>
  </sheetData>
  <mergeCells count="5">
    <mergeCell ref="L1:P1"/>
    <mergeCell ref="T1:X1"/>
    <mergeCell ref="Y1:Z1"/>
    <mergeCell ref="AA1:AB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815C-6D56-4D00-A3B7-E94BF56D85EE}">
  <dimension ref="A1:G35"/>
  <sheetViews>
    <sheetView showGridLines="0" zoomScale="130" zoomScaleNormal="130" workbookViewId="0">
      <pane ySplit="1" topLeftCell="A2" activePane="bottomLeft" state="frozen"/>
      <selection pane="bottomLeft" activeCell="E27" sqref="E27"/>
    </sheetView>
  </sheetViews>
  <sheetFormatPr defaultColWidth="8.85546875" defaultRowHeight="15"/>
  <cols>
    <col min="1" max="1" width="5.5703125" bestFit="1" customWidth="1"/>
    <col min="2" max="2" width="8.28515625" bestFit="1" customWidth="1"/>
    <col min="3" max="3" width="20.140625" bestFit="1" customWidth="1"/>
    <col min="4" max="4" width="9.140625" bestFit="1" customWidth="1"/>
    <col min="5" max="5" width="16.42578125" bestFit="1" customWidth="1"/>
    <col min="6" max="6" width="6.42578125" bestFit="1" customWidth="1"/>
    <col min="7" max="7" width="12.28515625" customWidth="1"/>
  </cols>
  <sheetData>
    <row r="1" spans="1:7">
      <c r="A1" s="27" t="s">
        <v>110</v>
      </c>
      <c r="B1" s="27" t="s">
        <v>111</v>
      </c>
      <c r="C1" s="27" t="s">
        <v>112</v>
      </c>
      <c r="D1" s="27" t="s">
        <v>113</v>
      </c>
      <c r="E1" s="27" t="s">
        <v>114</v>
      </c>
      <c r="F1" s="27" t="s">
        <v>115</v>
      </c>
      <c r="G1" s="27" t="s">
        <v>116</v>
      </c>
    </row>
    <row r="2" spans="1:7">
      <c r="A2" s="28">
        <v>1</v>
      </c>
      <c r="B2" s="18">
        <v>1095233</v>
      </c>
      <c r="C2" s="18" t="s">
        <v>117</v>
      </c>
      <c r="D2" s="18" t="s">
        <v>118</v>
      </c>
      <c r="E2" s="18" t="s">
        <v>119</v>
      </c>
      <c r="F2" s="18" t="s">
        <v>120</v>
      </c>
      <c r="G2" s="19"/>
    </row>
    <row r="3" spans="1:7">
      <c r="A3" s="18">
        <v>2</v>
      </c>
      <c r="B3" s="18">
        <v>1095241</v>
      </c>
      <c r="C3" s="18" t="s">
        <v>121</v>
      </c>
      <c r="D3" s="18" t="s">
        <v>118</v>
      </c>
      <c r="E3" s="18" t="s">
        <v>119</v>
      </c>
      <c r="F3" s="18" t="s">
        <v>120</v>
      </c>
      <c r="G3" s="19"/>
    </row>
    <row r="4" spans="1:7">
      <c r="A4" s="28">
        <v>3</v>
      </c>
      <c r="B4" s="18">
        <v>1103198</v>
      </c>
      <c r="C4" s="18" t="s">
        <v>122</v>
      </c>
      <c r="D4" s="18" t="s">
        <v>118</v>
      </c>
      <c r="E4" s="18" t="s">
        <v>119</v>
      </c>
      <c r="F4" s="18" t="s">
        <v>120</v>
      </c>
      <c r="G4" s="19"/>
    </row>
    <row r="5" spans="1:7">
      <c r="A5" s="18">
        <v>4</v>
      </c>
      <c r="B5" s="18">
        <v>1104345</v>
      </c>
      <c r="C5" s="18" t="s">
        <v>123</v>
      </c>
      <c r="D5" s="18" t="s">
        <v>118</v>
      </c>
      <c r="E5" s="18" t="s">
        <v>119</v>
      </c>
      <c r="F5" s="18" t="s">
        <v>120</v>
      </c>
      <c r="G5" s="19"/>
    </row>
    <row r="6" spans="1:7">
      <c r="A6" s="28">
        <v>5</v>
      </c>
      <c r="B6" s="18">
        <v>1105186</v>
      </c>
      <c r="C6" s="18" t="s">
        <v>124</v>
      </c>
      <c r="D6" s="18" t="s">
        <v>118</v>
      </c>
      <c r="E6" s="18" t="s">
        <v>119</v>
      </c>
      <c r="F6" s="18" t="s">
        <v>120</v>
      </c>
      <c r="G6" s="19"/>
    </row>
    <row r="7" spans="1:7">
      <c r="A7" s="18">
        <v>6</v>
      </c>
      <c r="B7" s="18">
        <v>1104344</v>
      </c>
      <c r="C7" s="18" t="s">
        <v>125</v>
      </c>
      <c r="D7" s="18" t="s">
        <v>118</v>
      </c>
      <c r="E7" s="18" t="s">
        <v>119</v>
      </c>
      <c r="F7" s="18" t="s">
        <v>120</v>
      </c>
      <c r="G7" s="19"/>
    </row>
    <row r="8" spans="1:7">
      <c r="A8" s="18">
        <v>7</v>
      </c>
      <c r="B8" s="18">
        <v>1103197</v>
      </c>
      <c r="C8" s="18" t="s">
        <v>126</v>
      </c>
      <c r="D8" s="18" t="s">
        <v>118</v>
      </c>
      <c r="E8" s="18" t="s">
        <v>119</v>
      </c>
      <c r="F8" s="18" t="s">
        <v>120</v>
      </c>
      <c r="G8" s="19"/>
    </row>
    <row r="9" spans="1:7">
      <c r="A9" s="18">
        <v>8</v>
      </c>
      <c r="B9" s="18">
        <v>1095249</v>
      </c>
      <c r="C9" s="18" t="s">
        <v>107</v>
      </c>
      <c r="D9" s="18" t="s">
        <v>118</v>
      </c>
      <c r="E9" s="18" t="s">
        <v>127</v>
      </c>
      <c r="F9" s="18" t="s">
        <v>128</v>
      </c>
      <c r="G9" s="19"/>
    </row>
    <row r="10" spans="1:7">
      <c r="A10" s="18">
        <v>9</v>
      </c>
      <c r="B10" s="18">
        <v>1098558</v>
      </c>
      <c r="C10" s="18" t="s">
        <v>129</v>
      </c>
      <c r="D10" s="18" t="s">
        <v>118</v>
      </c>
      <c r="E10" s="18" t="s">
        <v>127</v>
      </c>
      <c r="F10" s="18" t="s">
        <v>128</v>
      </c>
      <c r="G10" s="19"/>
    </row>
    <row r="11" spans="1:7">
      <c r="A11" s="18">
        <v>10</v>
      </c>
      <c r="B11" s="18">
        <v>1104346</v>
      </c>
      <c r="C11" s="18" t="s">
        <v>34</v>
      </c>
      <c r="D11" s="18" t="s">
        <v>118</v>
      </c>
      <c r="E11" s="18" t="s">
        <v>127</v>
      </c>
      <c r="F11" s="18" t="s">
        <v>128</v>
      </c>
      <c r="G11" s="19"/>
    </row>
    <row r="12" spans="1:7">
      <c r="A12" s="18">
        <v>11</v>
      </c>
      <c r="B12" s="18">
        <v>1100111</v>
      </c>
      <c r="C12" s="18" t="s">
        <v>130</v>
      </c>
      <c r="D12" s="18" t="s">
        <v>118</v>
      </c>
      <c r="E12" s="18" t="s">
        <v>127</v>
      </c>
      <c r="F12" s="18" t="s">
        <v>128</v>
      </c>
      <c r="G12" s="19"/>
    </row>
    <row r="13" spans="1:7">
      <c r="A13" s="18">
        <v>12</v>
      </c>
      <c r="B13" s="18">
        <v>1101317</v>
      </c>
      <c r="C13" s="18" t="s">
        <v>131</v>
      </c>
      <c r="D13" s="18" t="s">
        <v>118</v>
      </c>
      <c r="E13" s="18" t="s">
        <v>127</v>
      </c>
      <c r="F13" s="18" t="s">
        <v>128</v>
      </c>
      <c r="G13" s="19"/>
    </row>
    <row r="14" spans="1:7">
      <c r="A14" s="18">
        <v>13</v>
      </c>
      <c r="B14" s="18">
        <v>1102208</v>
      </c>
      <c r="C14" s="18" t="s">
        <v>58</v>
      </c>
      <c r="D14" s="18" t="s">
        <v>118</v>
      </c>
      <c r="E14" s="18" t="s">
        <v>127</v>
      </c>
      <c r="F14" s="18" t="s">
        <v>128</v>
      </c>
      <c r="G14" s="19"/>
    </row>
    <row r="15" spans="1:7">
      <c r="A15" s="18">
        <v>14</v>
      </c>
      <c r="B15" s="18">
        <v>1102995</v>
      </c>
      <c r="C15" s="18" t="s">
        <v>52</v>
      </c>
      <c r="D15" s="18" t="s">
        <v>118</v>
      </c>
      <c r="E15" s="18" t="s">
        <v>127</v>
      </c>
      <c r="F15" s="18" t="s">
        <v>128</v>
      </c>
      <c r="G15" s="19"/>
    </row>
    <row r="16" spans="1:7">
      <c r="A16" s="18">
        <v>15</v>
      </c>
      <c r="B16" s="18">
        <v>1105185</v>
      </c>
      <c r="C16" s="18" t="s">
        <v>47</v>
      </c>
      <c r="D16" s="18" t="s">
        <v>118</v>
      </c>
      <c r="E16" s="18" t="s">
        <v>127</v>
      </c>
      <c r="F16" s="18" t="s">
        <v>128</v>
      </c>
      <c r="G16" s="19"/>
    </row>
    <row r="17" spans="1:7">
      <c r="A17" s="18">
        <v>16</v>
      </c>
      <c r="B17" s="18">
        <v>1095237</v>
      </c>
      <c r="C17" s="18" t="s">
        <v>69</v>
      </c>
      <c r="D17" s="18" t="s">
        <v>118</v>
      </c>
      <c r="E17" s="18" t="s">
        <v>132</v>
      </c>
      <c r="F17" s="18" t="s">
        <v>73</v>
      </c>
      <c r="G17" s="19"/>
    </row>
    <row r="18" spans="1:7">
      <c r="A18" s="18">
        <v>17</v>
      </c>
      <c r="B18" s="18">
        <v>1104433</v>
      </c>
      <c r="C18" s="18" t="s">
        <v>90</v>
      </c>
      <c r="D18" s="18" t="s">
        <v>118</v>
      </c>
      <c r="E18" s="18" t="s">
        <v>132</v>
      </c>
      <c r="F18" s="18" t="s">
        <v>73</v>
      </c>
      <c r="G18" s="19"/>
    </row>
    <row r="19" spans="1:7">
      <c r="A19" s="18">
        <v>18</v>
      </c>
      <c r="B19" s="18">
        <v>1101314</v>
      </c>
      <c r="C19" s="18" t="s">
        <v>133</v>
      </c>
      <c r="D19" s="18" t="s">
        <v>118</v>
      </c>
      <c r="E19" s="18" t="s">
        <v>132</v>
      </c>
      <c r="F19" s="18" t="s">
        <v>73</v>
      </c>
      <c r="G19" s="19"/>
    </row>
    <row r="20" spans="1:7">
      <c r="A20" s="18">
        <v>19</v>
      </c>
      <c r="B20" s="18">
        <v>1104090</v>
      </c>
      <c r="C20" s="18" t="s">
        <v>97</v>
      </c>
      <c r="D20" s="18" t="s">
        <v>118</v>
      </c>
      <c r="E20" s="18" t="s">
        <v>132</v>
      </c>
      <c r="F20" s="18" t="s">
        <v>73</v>
      </c>
      <c r="G20" s="19"/>
    </row>
    <row r="21" spans="1:7">
      <c r="A21" s="18">
        <v>20</v>
      </c>
      <c r="B21" s="18">
        <v>1102728</v>
      </c>
      <c r="C21" s="18" t="s">
        <v>134</v>
      </c>
      <c r="D21" s="18" t="s">
        <v>118</v>
      </c>
      <c r="E21" s="18" t="s">
        <v>132</v>
      </c>
      <c r="F21" s="18" t="s">
        <v>73</v>
      </c>
      <c r="G21" s="19"/>
    </row>
    <row r="22" spans="1:7">
      <c r="A22" s="18">
        <v>21</v>
      </c>
      <c r="B22" s="18">
        <v>1095242</v>
      </c>
      <c r="C22" s="18" t="s">
        <v>135</v>
      </c>
      <c r="D22" s="18" t="s">
        <v>118</v>
      </c>
      <c r="E22" s="18" t="s">
        <v>132</v>
      </c>
      <c r="F22" s="18" t="s">
        <v>79</v>
      </c>
      <c r="G22" s="19"/>
    </row>
    <row r="23" spans="1:7">
      <c r="A23" s="18">
        <v>22</v>
      </c>
      <c r="B23" s="18">
        <v>1095243</v>
      </c>
      <c r="C23" s="18" t="s">
        <v>136</v>
      </c>
      <c r="D23" s="18" t="s">
        <v>118</v>
      </c>
      <c r="E23" s="18" t="s">
        <v>132</v>
      </c>
      <c r="F23" s="18" t="s">
        <v>79</v>
      </c>
      <c r="G23" s="19"/>
    </row>
    <row r="24" spans="1:7">
      <c r="A24" s="18">
        <v>23</v>
      </c>
      <c r="B24" s="18">
        <v>1095246</v>
      </c>
      <c r="C24" s="18" t="s">
        <v>83</v>
      </c>
      <c r="D24" s="18" t="s">
        <v>118</v>
      </c>
      <c r="E24" s="18" t="s">
        <v>132</v>
      </c>
      <c r="F24" s="18" t="s">
        <v>79</v>
      </c>
      <c r="G24" s="19"/>
    </row>
    <row r="25" spans="1:7">
      <c r="A25" s="18">
        <v>24</v>
      </c>
      <c r="B25" s="18">
        <v>1098559</v>
      </c>
      <c r="C25" s="18" t="s">
        <v>77</v>
      </c>
      <c r="D25" s="18" t="s">
        <v>118</v>
      </c>
      <c r="E25" s="18" t="s">
        <v>132</v>
      </c>
      <c r="F25" s="18" t="s">
        <v>79</v>
      </c>
      <c r="G25" s="19"/>
    </row>
    <row r="26" spans="1:7">
      <c r="A26" s="18">
        <v>25</v>
      </c>
      <c r="B26" s="18">
        <v>1038741</v>
      </c>
      <c r="C26" s="18" t="s">
        <v>137</v>
      </c>
      <c r="D26" s="18" t="s">
        <v>118</v>
      </c>
      <c r="E26" s="18" t="s">
        <v>138</v>
      </c>
      <c r="F26" s="18" t="s">
        <v>139</v>
      </c>
      <c r="G26" s="19"/>
    </row>
    <row r="27" spans="1:7">
      <c r="A27" s="18">
        <v>26</v>
      </c>
      <c r="B27" s="18">
        <v>1096403</v>
      </c>
      <c r="C27" s="18" t="s">
        <v>140</v>
      </c>
      <c r="D27" s="18" t="s">
        <v>118</v>
      </c>
      <c r="E27" s="18" t="s">
        <v>138</v>
      </c>
      <c r="F27" s="18" t="s">
        <v>139</v>
      </c>
      <c r="G27" s="19"/>
    </row>
    <row r="28" spans="1:7">
      <c r="A28" s="18">
        <v>27</v>
      </c>
      <c r="B28" s="18">
        <v>1096404</v>
      </c>
      <c r="C28" s="18" t="s">
        <v>141</v>
      </c>
      <c r="D28" s="18" t="s">
        <v>118</v>
      </c>
      <c r="E28" s="18" t="s">
        <v>138</v>
      </c>
      <c r="F28" s="18" t="s">
        <v>139</v>
      </c>
      <c r="G28" s="19"/>
    </row>
    <row r="29" spans="1:7">
      <c r="A29" s="18">
        <v>28</v>
      </c>
      <c r="B29" s="18">
        <v>1103525</v>
      </c>
      <c r="C29" s="18" t="s">
        <v>142</v>
      </c>
      <c r="D29" s="18" t="s">
        <v>118</v>
      </c>
      <c r="E29" s="18" t="s">
        <v>138</v>
      </c>
      <c r="F29" s="18" t="s">
        <v>139</v>
      </c>
      <c r="G29" s="19"/>
    </row>
    <row r="30" spans="1:7">
      <c r="A30" s="18">
        <v>29</v>
      </c>
      <c r="B30" s="18">
        <v>1103552</v>
      </c>
      <c r="C30" s="18" t="s">
        <v>143</v>
      </c>
      <c r="D30" s="18" t="s">
        <v>118</v>
      </c>
      <c r="E30" s="18" t="s">
        <v>138</v>
      </c>
      <c r="F30" s="18" t="s">
        <v>139</v>
      </c>
      <c r="G30" s="19"/>
    </row>
    <row r="31" spans="1:7">
      <c r="A31" s="18">
        <v>30</v>
      </c>
      <c r="B31" s="18">
        <v>1103200</v>
      </c>
      <c r="C31" s="18" t="s">
        <v>144</v>
      </c>
      <c r="D31" s="18" t="s">
        <v>118</v>
      </c>
      <c r="E31" s="18" t="s">
        <v>138</v>
      </c>
      <c r="F31" s="18" t="s">
        <v>139</v>
      </c>
      <c r="G31" s="19"/>
    </row>
    <row r="32" spans="1:7">
      <c r="A32" s="18">
        <v>31</v>
      </c>
      <c r="B32" s="18">
        <v>1103523</v>
      </c>
      <c r="C32" s="18" t="s">
        <v>145</v>
      </c>
      <c r="D32" s="18" t="s">
        <v>118</v>
      </c>
      <c r="E32" s="18" t="s">
        <v>138</v>
      </c>
      <c r="F32" s="18" t="s">
        <v>139</v>
      </c>
      <c r="G32" s="19"/>
    </row>
    <row r="33" spans="1:7">
      <c r="A33" s="18">
        <v>32</v>
      </c>
      <c r="B33" s="18">
        <v>1105054</v>
      </c>
      <c r="C33" s="18" t="s">
        <v>146</v>
      </c>
      <c r="D33" s="18" t="s">
        <v>118</v>
      </c>
      <c r="E33" s="18" t="s">
        <v>138</v>
      </c>
      <c r="F33" s="18" t="s">
        <v>139</v>
      </c>
      <c r="G33" s="19"/>
    </row>
    <row r="34" spans="1:7">
      <c r="A34" s="18">
        <v>33</v>
      </c>
      <c r="B34" s="18">
        <v>1104007</v>
      </c>
      <c r="C34" s="18" t="s">
        <v>147</v>
      </c>
      <c r="D34" s="18" t="s">
        <v>118</v>
      </c>
      <c r="E34" s="18" t="s">
        <v>138</v>
      </c>
      <c r="F34" s="18" t="s">
        <v>139</v>
      </c>
      <c r="G34" s="19"/>
    </row>
    <row r="35" spans="1:7">
      <c r="A35" s="18">
        <v>34</v>
      </c>
      <c r="B35" s="18">
        <v>1104318</v>
      </c>
      <c r="C35" s="18" t="s">
        <v>148</v>
      </c>
      <c r="D35" s="18" t="s">
        <v>118</v>
      </c>
      <c r="E35" s="18" t="s">
        <v>138</v>
      </c>
      <c r="F35" s="18" t="s">
        <v>139</v>
      </c>
      <c r="G35" s="19"/>
    </row>
  </sheetData>
  <sheetProtection sheet="1" scenarios="1" formatColumns="0" formatRows="0"/>
  <conditionalFormatting sqref="G2">
    <cfRule type="expression" priority="1">
      <formula>"absent"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DC15-0020-407A-8AA1-A245F27143B8}">
  <dimension ref="B2:N15"/>
  <sheetViews>
    <sheetView zoomScale="140" zoomScaleNormal="140" workbookViewId="0">
      <selection activeCell="L13" sqref="L13"/>
    </sheetView>
  </sheetViews>
  <sheetFormatPr defaultColWidth="8.85546875" defaultRowHeight="15"/>
  <cols>
    <col min="1" max="1" width="5.7109375" customWidth="1"/>
    <col min="2" max="9" width="8.85546875" hidden="1" customWidth="1"/>
    <col min="10" max="10" width="54.7109375" customWidth="1"/>
    <col min="11" max="11" width="14.140625" customWidth="1"/>
    <col min="12" max="12" width="26.85546875" customWidth="1"/>
    <col min="13" max="13" width="26.140625" customWidth="1"/>
  </cols>
  <sheetData>
    <row r="2" spans="2:14">
      <c r="J2" t="s">
        <v>149</v>
      </c>
      <c r="K2" s="5">
        <v>2</v>
      </c>
      <c r="M2" t="s">
        <v>150</v>
      </c>
      <c r="N2" s="3" t="s">
        <v>54</v>
      </c>
    </row>
    <row r="3" spans="2:14">
      <c r="B3" s="26" t="s">
        <v>151</v>
      </c>
      <c r="C3" s="26"/>
      <c r="D3" s="26" t="s">
        <v>2</v>
      </c>
      <c r="E3" s="26"/>
      <c r="F3" s="26"/>
      <c r="G3" s="26"/>
      <c r="J3" t="s">
        <v>152</v>
      </c>
      <c r="K3">
        <v>0</v>
      </c>
      <c r="L3" t="s">
        <v>153</v>
      </c>
      <c r="N3" s="3" t="s">
        <v>54</v>
      </c>
    </row>
    <row r="4" spans="2:14">
      <c r="B4" t="s">
        <v>154</v>
      </c>
      <c r="C4">
        <v>2</v>
      </c>
      <c r="D4" t="s">
        <v>155</v>
      </c>
      <c r="E4">
        <v>2</v>
      </c>
      <c r="J4" t="s">
        <v>156</v>
      </c>
      <c r="K4">
        <v>1</v>
      </c>
      <c r="L4" t="s">
        <v>157</v>
      </c>
      <c r="N4" s="4" t="s">
        <v>158</v>
      </c>
    </row>
    <row r="5" spans="2:14">
      <c r="B5" t="s">
        <v>159</v>
      </c>
      <c r="C5">
        <v>1</v>
      </c>
      <c r="D5" t="s">
        <v>160</v>
      </c>
      <c r="E5">
        <v>1</v>
      </c>
      <c r="J5" t="s">
        <v>161</v>
      </c>
      <c r="K5">
        <v>1</v>
      </c>
      <c r="L5" t="s">
        <v>157</v>
      </c>
      <c r="N5" s="4" t="s">
        <v>158</v>
      </c>
    </row>
    <row r="6" spans="2:14">
      <c r="B6" t="s">
        <v>162</v>
      </c>
      <c r="C6">
        <v>1</v>
      </c>
      <c r="D6" t="s">
        <v>163</v>
      </c>
      <c r="E6">
        <v>1</v>
      </c>
      <c r="J6" t="s">
        <v>164</v>
      </c>
      <c r="K6">
        <v>0</v>
      </c>
      <c r="L6" t="s">
        <v>165</v>
      </c>
      <c r="N6" s="3" t="s">
        <v>54</v>
      </c>
    </row>
    <row r="7" spans="2:14">
      <c r="B7" t="s">
        <v>166</v>
      </c>
      <c r="C7">
        <v>0</v>
      </c>
    </row>
    <row r="8" spans="2:14">
      <c r="B8" t="s">
        <v>167</v>
      </c>
      <c r="C8">
        <v>1</v>
      </c>
      <c r="D8" t="s">
        <v>168</v>
      </c>
      <c r="E8">
        <v>1</v>
      </c>
    </row>
    <row r="10" spans="2:14">
      <c r="J10" t="s">
        <v>149</v>
      </c>
      <c r="K10" s="5">
        <v>5</v>
      </c>
      <c r="M10" t="s">
        <v>150</v>
      </c>
      <c r="N10" s="3" t="s">
        <v>54</v>
      </c>
    </row>
    <row r="11" spans="2:14">
      <c r="J11" t="s">
        <v>152</v>
      </c>
      <c r="K11">
        <v>0</v>
      </c>
      <c r="L11" t="s">
        <v>153</v>
      </c>
      <c r="N11" s="3" t="s">
        <v>54</v>
      </c>
    </row>
    <row r="12" spans="2:14">
      <c r="J12" t="s">
        <v>156</v>
      </c>
      <c r="K12" s="3">
        <v>1</v>
      </c>
      <c r="L12" s="3" t="s">
        <v>169</v>
      </c>
      <c r="N12" s="3" t="s">
        <v>54</v>
      </c>
    </row>
    <row r="13" spans="2:14">
      <c r="J13" t="s">
        <v>161</v>
      </c>
      <c r="K13" s="3">
        <v>2</v>
      </c>
      <c r="L13" s="3" t="s">
        <v>169</v>
      </c>
      <c r="N13" s="3" t="s">
        <v>54</v>
      </c>
    </row>
    <row r="14" spans="2:14">
      <c r="J14" t="s">
        <v>164</v>
      </c>
      <c r="K14">
        <v>3</v>
      </c>
      <c r="L14" t="s">
        <v>165</v>
      </c>
      <c r="N14" s="3" t="s">
        <v>54</v>
      </c>
    </row>
    <row r="15" spans="2:14">
      <c r="K15">
        <v>5</v>
      </c>
      <c r="L15" t="s">
        <v>170</v>
      </c>
    </row>
  </sheetData>
  <mergeCells count="2">
    <mergeCell ref="B3:C3"/>
    <mergeCell ref="D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F8CF-0633-4BD4-A451-ABB1CEA89955}">
  <dimension ref="J4:R17"/>
  <sheetViews>
    <sheetView workbookViewId="0">
      <selection activeCell="J17" sqref="J17"/>
    </sheetView>
  </sheetViews>
  <sheetFormatPr defaultColWidth="8.85546875" defaultRowHeight="15"/>
  <cols>
    <col min="17" max="17" width="32.140625" customWidth="1"/>
  </cols>
  <sheetData>
    <row r="4" spans="10:18">
      <c r="J4" t="s">
        <v>171</v>
      </c>
      <c r="K4">
        <v>5</v>
      </c>
    </row>
    <row r="6" spans="10:18">
      <c r="K6">
        <v>0</v>
      </c>
      <c r="L6" t="s">
        <v>172</v>
      </c>
      <c r="Q6" s="6" t="s">
        <v>173</v>
      </c>
      <c r="R6" s="6" t="s">
        <v>174</v>
      </c>
    </row>
    <row r="7" spans="10:18">
      <c r="K7">
        <v>1</v>
      </c>
      <c r="Q7" t="s">
        <v>175</v>
      </c>
    </row>
    <row r="8" spans="10:18">
      <c r="K8">
        <v>2</v>
      </c>
    </row>
    <row r="11" spans="10:18">
      <c r="K11">
        <v>5</v>
      </c>
      <c r="L11" t="s">
        <v>176</v>
      </c>
    </row>
    <row r="15" spans="10:18">
      <c r="J15">
        <v>2022</v>
      </c>
      <c r="K15">
        <v>2024</v>
      </c>
    </row>
    <row r="17" spans="10:10">
      <c r="J17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9614-1EE5-4228-9A99-380140C60E5C}">
  <dimension ref="B3:H16"/>
  <sheetViews>
    <sheetView workbookViewId="0">
      <selection activeCell="H11" sqref="H11"/>
    </sheetView>
  </sheetViews>
  <sheetFormatPr defaultColWidth="8.85546875" defaultRowHeight="15"/>
  <cols>
    <col min="2" max="2" width="33.85546875" customWidth="1"/>
    <col min="4" max="4" width="52.85546875" customWidth="1"/>
    <col min="6" max="6" width="53.42578125" customWidth="1"/>
    <col min="8" max="8" width="19.28515625" customWidth="1"/>
  </cols>
  <sheetData>
    <row r="3" spans="2:8" ht="15.95">
      <c r="B3" s="2" t="s">
        <v>177</v>
      </c>
      <c r="D3" s="2" t="s">
        <v>178</v>
      </c>
      <c r="F3" s="2" t="s">
        <v>179</v>
      </c>
      <c r="H3" s="2" t="s">
        <v>114</v>
      </c>
    </row>
    <row r="4" spans="2:8">
      <c r="B4" s="1" t="s">
        <v>74</v>
      </c>
      <c r="D4" s="1" t="s">
        <v>74</v>
      </c>
      <c r="F4" s="1" t="s">
        <v>74</v>
      </c>
      <c r="H4" s="1" t="s">
        <v>180</v>
      </c>
    </row>
    <row r="5" spans="2:8">
      <c r="B5" s="1" t="s">
        <v>181</v>
      </c>
      <c r="D5" s="1" t="s">
        <v>182</v>
      </c>
      <c r="F5" s="1" t="s">
        <v>183</v>
      </c>
      <c r="H5" s="1" t="s">
        <v>184</v>
      </c>
    </row>
    <row r="6" spans="2:8">
      <c r="B6" s="1" t="s">
        <v>185</v>
      </c>
      <c r="D6" s="1" t="s">
        <v>186</v>
      </c>
      <c r="F6" s="1" t="s">
        <v>187</v>
      </c>
      <c r="H6" s="1" t="s">
        <v>188</v>
      </c>
    </row>
    <row r="7" spans="2:8">
      <c r="B7" s="1" t="s">
        <v>189</v>
      </c>
      <c r="D7" s="1" t="s">
        <v>190</v>
      </c>
      <c r="F7" s="1" t="s">
        <v>191</v>
      </c>
      <c r="H7" s="1" t="s">
        <v>192</v>
      </c>
    </row>
    <row r="8" spans="2:8">
      <c r="B8" s="1"/>
      <c r="D8" s="1" t="s">
        <v>193</v>
      </c>
      <c r="F8" s="1" t="s">
        <v>194</v>
      </c>
      <c r="H8" s="1" t="s">
        <v>195</v>
      </c>
    </row>
    <row r="9" spans="2:8">
      <c r="B9" s="1"/>
      <c r="D9" s="1" t="s">
        <v>196</v>
      </c>
      <c r="F9" s="1"/>
      <c r="H9" s="1"/>
    </row>
    <row r="10" spans="2:8">
      <c r="B10" s="1"/>
      <c r="D10" s="1" t="s">
        <v>197</v>
      </c>
      <c r="F10" s="1"/>
      <c r="H10" s="1"/>
    </row>
    <row r="11" spans="2:8">
      <c r="B11" s="1"/>
      <c r="D11" s="1" t="s">
        <v>198</v>
      </c>
      <c r="F11" s="1"/>
      <c r="H11" s="1"/>
    </row>
    <row r="12" spans="2:8">
      <c r="B12" s="1"/>
      <c r="D12" s="1" t="s">
        <v>199</v>
      </c>
      <c r="F12" s="1"/>
      <c r="H12" s="1"/>
    </row>
    <row r="13" spans="2:8">
      <c r="B13" s="1"/>
      <c r="D13" s="1"/>
      <c r="F13" s="1"/>
      <c r="H13" s="1"/>
    </row>
    <row r="14" spans="2:8">
      <c r="B14" s="1"/>
      <c r="D14" s="1"/>
      <c r="F14" s="1"/>
      <c r="H14" s="1"/>
    </row>
    <row r="15" spans="2:8">
      <c r="B15" s="1"/>
      <c r="D15" s="1"/>
      <c r="F15" s="1"/>
      <c r="H15" s="1"/>
    </row>
    <row r="16" spans="2:8">
      <c r="B16" s="1"/>
      <c r="D16" s="1"/>
      <c r="F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Bikash Roy</cp:lastModifiedBy>
  <cp:revision/>
  <dcterms:created xsi:type="dcterms:W3CDTF">2026-02-27T13:07:28Z</dcterms:created>
  <dcterms:modified xsi:type="dcterms:W3CDTF">2026-08-28T04:18:50Z</dcterms:modified>
  <cp:category/>
  <cp:contentStatus/>
</cp:coreProperties>
</file>